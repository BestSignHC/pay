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1860" yWindow="0" windowWidth="20385" windowHeight="8370" activeTab="1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D20" i="2" l="1"/>
  <c r="C20" i="2"/>
  <c r="D17" i="2" l="1"/>
  <c r="C17" i="2"/>
  <c r="C8" i="2"/>
  <c r="E183" i="1" l="1"/>
  <c r="D183" i="1"/>
  <c r="D178" i="1"/>
  <c r="D175" i="1"/>
  <c r="E172" i="1"/>
  <c r="D172" i="1"/>
  <c r="D167" i="1"/>
  <c r="D165" i="1"/>
  <c r="E161" i="1"/>
  <c r="D161" i="1"/>
  <c r="D158" i="1"/>
  <c r="E154" i="1"/>
  <c r="D154" i="1"/>
  <c r="D149" i="1"/>
  <c r="D146" i="1"/>
  <c r="E142" i="1"/>
  <c r="D142" i="1"/>
  <c r="D137" i="1"/>
  <c r="E130" i="1"/>
  <c r="D130" i="1"/>
  <c r="E124" i="1"/>
  <c r="D124" i="1"/>
  <c r="E118" i="1"/>
  <c r="D118" i="1"/>
  <c r="E112" i="1"/>
  <c r="D112" i="1"/>
  <c r="E106" i="1"/>
  <c r="D106" i="1"/>
  <c r="D103" i="1"/>
  <c r="D95" i="1"/>
  <c r="D90" i="1"/>
  <c r="D84" i="1"/>
  <c r="E80" i="1"/>
  <c r="D80" i="1"/>
  <c r="D74" i="1"/>
  <c r="D71" i="1"/>
  <c r="E68" i="1"/>
  <c r="D68" i="1"/>
  <c r="E63" i="1"/>
  <c r="D63" i="1"/>
  <c r="E58" i="1"/>
  <c r="D58" i="1"/>
  <c r="E54" i="1"/>
  <c r="D54" i="1"/>
  <c r="E50" i="1"/>
  <c r="D50" i="1"/>
  <c r="E46" i="1"/>
  <c r="D46" i="1"/>
  <c r="E37" i="1"/>
  <c r="D37" i="1"/>
  <c r="E33" i="1"/>
  <c r="D33" i="1"/>
  <c r="E18" i="1"/>
  <c r="D18" i="1"/>
  <c r="D12" i="1"/>
  <c r="D6" i="1"/>
</calcChain>
</file>

<file path=xl/sharedStrings.xml><?xml version="1.0" encoding="utf-8"?>
<sst xmlns="http://schemas.openxmlformats.org/spreadsheetml/2006/main" count="282" uniqueCount="177">
  <si>
    <t>日期</t>
  </si>
  <si>
    <t>项目</t>
  </si>
  <si>
    <t>金额（元）</t>
  </si>
  <si>
    <t>总计</t>
  </si>
  <si>
    <t>总计2</t>
  </si>
  <si>
    <t>火车票</t>
  </si>
  <si>
    <t>饮料</t>
  </si>
  <si>
    <t>住宿</t>
  </si>
  <si>
    <t>晚饭</t>
  </si>
  <si>
    <t>早餐</t>
  </si>
  <si>
    <t>车票</t>
  </si>
  <si>
    <t>沃尔玛</t>
  </si>
  <si>
    <t>晚餐</t>
  </si>
  <si>
    <t>公交</t>
  </si>
  <si>
    <t>午餐</t>
  </si>
  <si>
    <t>房租一个月</t>
  </si>
  <si>
    <t>中介费</t>
  </si>
  <si>
    <t>话费</t>
  </si>
  <si>
    <t>电费</t>
  </si>
  <si>
    <t>午饭</t>
  </si>
  <si>
    <t>超市</t>
  </si>
  <si>
    <t>日用品</t>
  </si>
  <si>
    <t>菜</t>
  </si>
  <si>
    <t>柠檬</t>
  </si>
  <si>
    <t>水饺</t>
  </si>
  <si>
    <t>老干妈</t>
  </si>
  <si>
    <t>床单被套</t>
  </si>
  <si>
    <t>买菜（午）</t>
  </si>
  <si>
    <t>买菜（晚）</t>
  </si>
  <si>
    <t>锅盖、拖鞋</t>
  </si>
  <si>
    <t>冰激凌</t>
  </si>
  <si>
    <t>京东拖鞋</t>
  </si>
  <si>
    <t>电饭煲</t>
  </si>
  <si>
    <t>房租</t>
  </si>
  <si>
    <t>买菜</t>
  </si>
  <si>
    <t>调料</t>
  </si>
  <si>
    <t>水果</t>
  </si>
  <si>
    <t>买菜(早)</t>
  </si>
  <si>
    <t>买菜（中）</t>
  </si>
  <si>
    <t>京东</t>
  </si>
  <si>
    <t>玉米</t>
  </si>
  <si>
    <t>外卖</t>
  </si>
  <si>
    <t xml:space="preserve">总计 </t>
  </si>
  <si>
    <t>11.20</t>
  </si>
  <si>
    <t>碗</t>
  </si>
  <si>
    <t>辣椒</t>
  </si>
  <si>
    <t>肉</t>
  </si>
  <si>
    <t>11.21</t>
  </si>
  <si>
    <t>买菜（早）</t>
  </si>
  <si>
    <t>11.22</t>
  </si>
  <si>
    <t>11.23</t>
  </si>
  <si>
    <t>排骨</t>
  </si>
  <si>
    <t>土豆</t>
  </si>
  <si>
    <t>11.24</t>
  </si>
  <si>
    <t>买鸡</t>
  </si>
  <si>
    <t>买饮料</t>
  </si>
  <si>
    <t>香蕉</t>
  </si>
  <si>
    <t>11.25</t>
  </si>
  <si>
    <t>猪蹄+肉</t>
  </si>
  <si>
    <t>香料</t>
  </si>
  <si>
    <t>11.26</t>
  </si>
  <si>
    <t>一卡通</t>
  </si>
  <si>
    <t>礼物</t>
  </si>
  <si>
    <t>11.27</t>
  </si>
  <si>
    <t>车票*2</t>
  </si>
  <si>
    <t>菜（晚）</t>
  </si>
  <si>
    <t>11.28</t>
  </si>
  <si>
    <t>11.29</t>
  </si>
  <si>
    <t>午餐10+24</t>
  </si>
  <si>
    <t>饭盒等</t>
  </si>
  <si>
    <t>11.30</t>
  </si>
  <si>
    <t>12.1</t>
  </si>
  <si>
    <t>买水果</t>
  </si>
  <si>
    <t>卖肉</t>
  </si>
  <si>
    <t>12.2</t>
  </si>
  <si>
    <t>充话费</t>
  </si>
  <si>
    <t>零食</t>
  </si>
  <si>
    <t>火车票扣费</t>
  </si>
  <si>
    <t>12.3</t>
  </si>
  <si>
    <t>买米</t>
  </si>
  <si>
    <t>12.4</t>
  </si>
  <si>
    <t>买肉</t>
  </si>
  <si>
    <t>买零食</t>
  </si>
  <si>
    <t>12.5</t>
  </si>
  <si>
    <t>12.6</t>
  </si>
  <si>
    <t>其他</t>
  </si>
  <si>
    <t>快递费</t>
  </si>
  <si>
    <t>11.7</t>
  </si>
  <si>
    <t>11.8</t>
  </si>
  <si>
    <t>11.9</t>
  </si>
  <si>
    <t>买火车票</t>
  </si>
  <si>
    <t>11.10</t>
  </si>
  <si>
    <t>关东煮</t>
  </si>
  <si>
    <t>买面包</t>
  </si>
  <si>
    <t>11.11</t>
  </si>
  <si>
    <t>11.12</t>
  </si>
  <si>
    <t>买油</t>
  </si>
  <si>
    <t>11.13</t>
  </si>
  <si>
    <t>11.14</t>
  </si>
  <si>
    <t>买橙子</t>
  </si>
  <si>
    <t>11.15</t>
  </si>
  <si>
    <t>外卖晚上</t>
  </si>
  <si>
    <t>合计</t>
  </si>
  <si>
    <t>11.16</t>
  </si>
  <si>
    <t>晚上</t>
  </si>
  <si>
    <t>11.17</t>
  </si>
  <si>
    <t>午饭外卖</t>
  </si>
  <si>
    <t>买菜+米</t>
  </si>
  <si>
    <r>
      <t>1</t>
    </r>
    <r>
      <rPr>
        <sz val="11"/>
        <color theme="1"/>
        <rFont val="等线"/>
        <family val="3"/>
        <charset val="134"/>
        <scheme val="minor"/>
      </rPr>
      <t>1.18</t>
    </r>
    <phoneticPr fontId="4" type="noConversion"/>
  </si>
  <si>
    <t>买菜</t>
    <phoneticPr fontId="4" type="noConversion"/>
  </si>
  <si>
    <t>零食</t>
    <phoneticPr fontId="4" type="noConversion"/>
  </si>
  <si>
    <t>11.19</t>
    <phoneticPr fontId="4" type="noConversion"/>
  </si>
  <si>
    <t>午饭</t>
    <phoneticPr fontId="4" type="noConversion"/>
  </si>
  <si>
    <t>礼物</t>
    <phoneticPr fontId="4" type="noConversion"/>
  </si>
  <si>
    <t>11.20</t>
    <phoneticPr fontId="4" type="noConversion"/>
  </si>
  <si>
    <t>买菜</t>
    <phoneticPr fontId="4" type="noConversion"/>
  </si>
  <si>
    <t>午饭</t>
    <phoneticPr fontId="4" type="noConversion"/>
  </si>
  <si>
    <t>11.21</t>
    <phoneticPr fontId="4" type="noConversion"/>
  </si>
  <si>
    <t>买菜</t>
    <phoneticPr fontId="4" type="noConversion"/>
  </si>
  <si>
    <t>11.23</t>
    <phoneticPr fontId="4" type="noConversion"/>
  </si>
  <si>
    <t>超市</t>
    <phoneticPr fontId="4" type="noConversion"/>
  </si>
  <si>
    <t>11.24</t>
    <phoneticPr fontId="4" type="noConversion"/>
  </si>
  <si>
    <t>外卖</t>
    <phoneticPr fontId="4" type="noConversion"/>
  </si>
  <si>
    <t>礼物</t>
    <phoneticPr fontId="4" type="noConversion"/>
  </si>
  <si>
    <t>11.25</t>
    <phoneticPr fontId="4" type="noConversion"/>
  </si>
  <si>
    <t>买菜</t>
    <phoneticPr fontId="4" type="noConversion"/>
  </si>
  <si>
    <t>肉</t>
    <phoneticPr fontId="4" type="noConversion"/>
  </si>
  <si>
    <t>11.27</t>
    <phoneticPr fontId="4" type="noConversion"/>
  </si>
  <si>
    <t>车票</t>
    <phoneticPr fontId="4" type="noConversion"/>
  </si>
  <si>
    <t>午饭</t>
    <phoneticPr fontId="4" type="noConversion"/>
  </si>
  <si>
    <t>晚饭</t>
    <phoneticPr fontId="4" type="noConversion"/>
  </si>
  <si>
    <t>11.28</t>
    <phoneticPr fontId="4" type="noConversion"/>
  </si>
  <si>
    <t>超市</t>
    <phoneticPr fontId="4" type="noConversion"/>
  </si>
  <si>
    <t>午饭</t>
    <phoneticPr fontId="4" type="noConversion"/>
  </si>
  <si>
    <t>11.29</t>
    <phoneticPr fontId="4" type="noConversion"/>
  </si>
  <si>
    <t>买菜</t>
    <phoneticPr fontId="4" type="noConversion"/>
  </si>
  <si>
    <t>肉</t>
    <phoneticPr fontId="4" type="noConversion"/>
  </si>
  <si>
    <t>11.30</t>
    <phoneticPr fontId="4" type="noConversion"/>
  </si>
  <si>
    <t>车票</t>
    <phoneticPr fontId="4" type="noConversion"/>
  </si>
  <si>
    <t>车票</t>
    <phoneticPr fontId="4" type="noConversion"/>
  </si>
  <si>
    <t>午饭</t>
    <phoneticPr fontId="4" type="noConversion"/>
  </si>
  <si>
    <t>1.1</t>
    <phoneticPr fontId="4" type="noConversion"/>
  </si>
  <si>
    <t>1.2</t>
    <phoneticPr fontId="4" type="noConversion"/>
  </si>
  <si>
    <t>买菜</t>
    <phoneticPr fontId="4" type="noConversion"/>
  </si>
  <si>
    <t>肉</t>
    <phoneticPr fontId="4" type="noConversion"/>
  </si>
  <si>
    <t>超市</t>
    <phoneticPr fontId="4" type="noConversion"/>
  </si>
  <si>
    <t>1.4</t>
    <phoneticPr fontId="4" type="noConversion"/>
  </si>
  <si>
    <t>午饭</t>
    <phoneticPr fontId="4" type="noConversion"/>
  </si>
  <si>
    <t>晚饭</t>
    <phoneticPr fontId="4" type="noConversion"/>
  </si>
  <si>
    <t>1.6</t>
    <phoneticPr fontId="4" type="noConversion"/>
  </si>
  <si>
    <t>午饭</t>
    <phoneticPr fontId="4" type="noConversion"/>
  </si>
  <si>
    <t>1.7</t>
    <phoneticPr fontId="4" type="noConversion"/>
  </si>
  <si>
    <t>外卖</t>
    <phoneticPr fontId="4" type="noConversion"/>
  </si>
  <si>
    <t>1.8</t>
    <phoneticPr fontId="4" type="noConversion"/>
  </si>
  <si>
    <t>外卖</t>
    <phoneticPr fontId="4" type="noConversion"/>
  </si>
  <si>
    <t>买菜</t>
    <phoneticPr fontId="4" type="noConversion"/>
  </si>
  <si>
    <t>肉</t>
    <phoneticPr fontId="4" type="noConversion"/>
  </si>
  <si>
    <t>日期</t>
    <phoneticPr fontId="6" type="noConversion"/>
  </si>
  <si>
    <t>项目</t>
    <phoneticPr fontId="6" type="noConversion"/>
  </si>
  <si>
    <t>金额</t>
    <phoneticPr fontId="6" type="noConversion"/>
  </si>
  <si>
    <t>小计</t>
    <phoneticPr fontId="6" type="noConversion"/>
  </si>
  <si>
    <t>胶水</t>
    <phoneticPr fontId="6" type="noConversion"/>
  </si>
  <si>
    <t>买菜</t>
    <phoneticPr fontId="6" type="noConversion"/>
  </si>
  <si>
    <t>午饭</t>
    <phoneticPr fontId="6" type="noConversion"/>
  </si>
  <si>
    <t>打麻将</t>
    <phoneticPr fontId="6" type="noConversion"/>
  </si>
  <si>
    <t>公交</t>
    <phoneticPr fontId="6" type="noConversion"/>
  </si>
  <si>
    <t>早餐</t>
    <phoneticPr fontId="6" type="noConversion"/>
  </si>
  <si>
    <t>快递</t>
    <phoneticPr fontId="6" type="noConversion"/>
  </si>
  <si>
    <t>小黄车</t>
    <phoneticPr fontId="6" type="noConversion"/>
  </si>
  <si>
    <t>午饭</t>
    <phoneticPr fontId="6" type="noConversion"/>
  </si>
  <si>
    <t>水</t>
    <phoneticPr fontId="6" type="noConversion"/>
  </si>
  <si>
    <t>食品</t>
    <phoneticPr fontId="6" type="noConversion"/>
  </si>
  <si>
    <t>买菜（晚）</t>
    <phoneticPr fontId="6" type="noConversion"/>
  </si>
  <si>
    <t>拿快递</t>
    <phoneticPr fontId="6" type="noConversion"/>
  </si>
  <si>
    <t>水果</t>
    <phoneticPr fontId="6" type="noConversion"/>
  </si>
  <si>
    <t>早饭</t>
    <phoneticPr fontId="6" type="noConversion"/>
  </si>
  <si>
    <t>买菜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</si>
</sst>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2"/>
      <name val="等线"/>
      <charset val="134"/>
      <scheme val="minor"/>
    </font>
    <font>
      <sz val="11"/>
      <color theme="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  <font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Border="1"/>
    <xf numFmtId="0" fontId="1" fillId="2" borderId="0" xfId="0" applyFont="1" applyFill="1"/>
    <xf numFmtId="49" fontId="0" fillId="0" borderId="0" xfId="0" applyNumberFormat="1" applyBorder="1"/>
    <xf numFmtId="49" fontId="0" fillId="3" borderId="0" xfId="0" applyNumberFormat="1" applyFill="1" applyBorder="1"/>
    <xf numFmtId="0" fontId="0" fillId="3" borderId="0" xfId="0" applyFill="1"/>
    <xf numFmtId="49" fontId="0" fillId="0" borderId="0" xfId="0" applyNumberFormat="1" applyFill="1" applyBorder="1"/>
    <xf numFmtId="49" fontId="0" fillId="3" borderId="0" xfId="0" applyNumberFormat="1" applyFill="1"/>
    <xf numFmtId="0" fontId="2" fillId="4" borderId="0" xfId="0" applyFont="1" applyFill="1"/>
    <xf numFmtId="0" fontId="3" fillId="4" borderId="0" xfId="0" applyFont="1" applyFill="1"/>
    <xf numFmtId="49" fontId="0" fillId="5" borderId="0" xfId="0" applyNumberFormat="1" applyFill="1"/>
    <xf numFmtId="0" fontId="0" fillId="5" borderId="0" xfId="0" applyFill="1"/>
    <xf numFmtId="0" fontId="3" fillId="4" borderId="0" xfId="0" applyFont="1" applyFill="1"/>
    <xf numFmtId="49" fontId="5" fillId="0" borderId="0" xfId="0" applyNumberFormat="1" applyFont="1"/>
    <xf numFmtId="0" fontId="5" fillId="0" borderId="0" xfId="0" applyFont="1"/>
    <xf numFmtId="0" fontId="0" fillId="6" borderId="0" xfId="0" applyFill="1"/>
    <xf numFmtId="0" fontId="0" fillId="4" borderId="0" xfId="0" applyFill="1"/>
    <xf numFmtId="0" fontId="5" fillId="6" borderId="0" xfId="0" applyFont="1" applyFill="1"/>
    <xf numFmtId="0" fontId="7" fillId="4" borderId="0" xfId="0" applyFont="1" applyFill="1"/>
  </cellXfs>
  <cellStyles count="1"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8"/>
  <sheetViews>
    <sheetView topLeftCell="A16" workbookViewId="0">
      <selection activeCell="B18" sqref="B18"/>
    </sheetView>
  </sheetViews>
  <sheetFormatPr defaultColWidth="9" defaultRowHeight="14.25"/>
  <cols>
    <col min="1" max="1" width="16.75" style="1" customWidth="1"/>
    <col min="2" max="2" width="14.875" customWidth="1"/>
    <col min="3" max="3" width="18.5" customWidth="1"/>
    <col min="5" max="5" width="14.5" customWidth="1"/>
  </cols>
  <sheetData>
    <row r="1" spans="1:5" ht="4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11.11</v>
      </c>
      <c r="B2" t="s">
        <v>5</v>
      </c>
      <c r="C2">
        <v>37.5</v>
      </c>
    </row>
    <row r="3" spans="1:5">
      <c r="A3" s="4"/>
      <c r="B3" t="s">
        <v>6</v>
      </c>
      <c r="C3">
        <v>4</v>
      </c>
    </row>
    <row r="4" spans="1:5">
      <c r="A4" s="4"/>
      <c r="B4" t="s">
        <v>7</v>
      </c>
      <c r="C4">
        <v>118</v>
      </c>
    </row>
    <row r="5" spans="1:5">
      <c r="A5" s="4"/>
      <c r="B5" t="s">
        <v>8</v>
      </c>
      <c r="C5">
        <v>32</v>
      </c>
    </row>
    <row r="6" spans="1:5">
      <c r="A6" s="5"/>
      <c r="B6" s="6"/>
      <c r="C6" s="6"/>
      <c r="D6" s="6">
        <f>SUM(C2:C5)</f>
        <v>191.5</v>
      </c>
    </row>
    <row r="7" spans="1:5">
      <c r="A7" s="7">
        <v>11.12</v>
      </c>
      <c r="B7" t="s">
        <v>9</v>
      </c>
      <c r="C7">
        <v>10</v>
      </c>
    </row>
    <row r="8" spans="1:5">
      <c r="B8" t="s">
        <v>10</v>
      </c>
      <c r="C8">
        <v>210</v>
      </c>
    </row>
    <row r="9" spans="1:5">
      <c r="B9" t="s">
        <v>11</v>
      </c>
      <c r="C9">
        <v>57.49</v>
      </c>
    </row>
    <row r="10" spans="1:5">
      <c r="B10" t="s">
        <v>7</v>
      </c>
      <c r="C10">
        <v>144</v>
      </c>
    </row>
    <row r="11" spans="1:5">
      <c r="B11" t="s">
        <v>12</v>
      </c>
      <c r="C11">
        <v>32</v>
      </c>
    </row>
    <row r="12" spans="1:5">
      <c r="A12" s="8" t="s">
        <v>3</v>
      </c>
      <c r="B12" s="6"/>
      <c r="C12" s="6"/>
      <c r="D12" s="6">
        <f>SUM(C7:C11)</f>
        <v>453.49</v>
      </c>
    </row>
    <row r="13" spans="1:5">
      <c r="A13" s="1">
        <v>11.13</v>
      </c>
      <c r="B13" t="s">
        <v>9</v>
      </c>
      <c r="C13">
        <v>17</v>
      </c>
    </row>
    <row r="14" spans="1:5">
      <c r="B14" t="s">
        <v>13</v>
      </c>
      <c r="C14">
        <v>8</v>
      </c>
    </row>
    <row r="15" spans="1:5">
      <c r="B15" t="s">
        <v>7</v>
      </c>
      <c r="C15">
        <v>119</v>
      </c>
    </row>
    <row r="16" spans="1:5">
      <c r="B16" t="s">
        <v>14</v>
      </c>
      <c r="C16">
        <v>78</v>
      </c>
    </row>
    <row r="17" spans="1:5">
      <c r="B17" t="s">
        <v>12</v>
      </c>
      <c r="C17">
        <v>29.5</v>
      </c>
    </row>
    <row r="18" spans="1:5">
      <c r="A18" s="8" t="s">
        <v>3</v>
      </c>
      <c r="B18" s="6"/>
      <c r="C18" s="6"/>
      <c r="D18" s="6">
        <f>SUM(C13:C17)</f>
        <v>251.5</v>
      </c>
      <c r="E18" s="9">
        <f>D6+D12+D18</f>
        <v>896.49</v>
      </c>
    </row>
    <row r="19" spans="1:5">
      <c r="A19" s="1">
        <v>11.14</v>
      </c>
      <c r="B19" t="s">
        <v>9</v>
      </c>
      <c r="C19">
        <v>23</v>
      </c>
    </row>
    <row r="20" spans="1:5">
      <c r="B20" t="s">
        <v>13</v>
      </c>
      <c r="C20">
        <v>13</v>
      </c>
    </row>
    <row r="21" spans="1:5">
      <c r="B21" t="s">
        <v>15</v>
      </c>
      <c r="C21">
        <v>2500</v>
      </c>
    </row>
    <row r="22" spans="1:5">
      <c r="B22" t="s">
        <v>16</v>
      </c>
      <c r="C22">
        <v>800</v>
      </c>
    </row>
    <row r="23" spans="1:5">
      <c r="B23" t="s">
        <v>17</v>
      </c>
      <c r="C23">
        <v>49.9</v>
      </c>
    </row>
    <row r="24" spans="1:5">
      <c r="B24" t="s">
        <v>18</v>
      </c>
      <c r="C24">
        <v>30</v>
      </c>
    </row>
    <row r="25" spans="1:5">
      <c r="B25" t="s">
        <v>19</v>
      </c>
      <c r="C25">
        <v>35</v>
      </c>
    </row>
    <row r="26" spans="1:5">
      <c r="B26" t="s">
        <v>20</v>
      </c>
      <c r="C26">
        <v>181.4</v>
      </c>
    </row>
    <row r="27" spans="1:5">
      <c r="B27" t="s">
        <v>21</v>
      </c>
      <c r="C27">
        <v>520</v>
      </c>
    </row>
    <row r="28" spans="1:5">
      <c r="B28" t="s">
        <v>22</v>
      </c>
      <c r="C28">
        <v>46</v>
      </c>
    </row>
    <row r="29" spans="1:5">
      <c r="B29" t="s">
        <v>23</v>
      </c>
      <c r="C29">
        <v>6</v>
      </c>
    </row>
    <row r="30" spans="1:5">
      <c r="B30" t="s">
        <v>24</v>
      </c>
      <c r="C30">
        <v>18</v>
      </c>
    </row>
    <row r="31" spans="1:5">
      <c r="B31" t="s">
        <v>25</v>
      </c>
      <c r="C31">
        <v>8.5</v>
      </c>
    </row>
    <row r="32" spans="1:5">
      <c r="B32" t="s">
        <v>26</v>
      </c>
      <c r="C32">
        <v>88</v>
      </c>
    </row>
    <row r="33" spans="1:5">
      <c r="A33" s="8" t="s">
        <v>3</v>
      </c>
      <c r="B33" s="6"/>
      <c r="C33" s="6"/>
      <c r="D33" s="6">
        <f>SUM(C19:C32)</f>
        <v>4318.8</v>
      </c>
      <c r="E33" s="9">
        <f>SUM(D33,D18,D12,D6)</f>
        <v>5215.29</v>
      </c>
    </row>
    <row r="34" spans="1:5">
      <c r="A34" s="1">
        <v>11.15</v>
      </c>
      <c r="B34" t="s">
        <v>27</v>
      </c>
      <c r="C34">
        <v>31</v>
      </c>
    </row>
    <row r="35" spans="1:5">
      <c r="B35" t="s">
        <v>28</v>
      </c>
      <c r="C35">
        <v>6.9</v>
      </c>
    </row>
    <row r="36" spans="1:5">
      <c r="B36" t="s">
        <v>29</v>
      </c>
      <c r="C36">
        <v>16</v>
      </c>
    </row>
    <row r="37" spans="1:5">
      <c r="A37" s="8" t="s">
        <v>3</v>
      </c>
      <c r="B37" s="6"/>
      <c r="C37" s="6"/>
      <c r="D37" s="6">
        <f>SUM(C34:C36)</f>
        <v>53.9</v>
      </c>
      <c r="E37" s="10">
        <f>E33+D37</f>
        <v>5269.19</v>
      </c>
    </row>
    <row r="38" spans="1:5">
      <c r="A38" s="1">
        <v>11.16</v>
      </c>
      <c r="B38" t="s">
        <v>27</v>
      </c>
      <c r="C38">
        <v>5</v>
      </c>
    </row>
    <row r="39" spans="1:5">
      <c r="B39" t="s">
        <v>13</v>
      </c>
      <c r="C39">
        <v>13</v>
      </c>
    </row>
    <row r="40" spans="1:5">
      <c r="B40" t="s">
        <v>30</v>
      </c>
      <c r="C40">
        <v>10</v>
      </c>
    </row>
    <row r="41" spans="1:5">
      <c r="B41" t="s">
        <v>8</v>
      </c>
      <c r="C41">
        <v>64</v>
      </c>
    </row>
    <row r="42" spans="1:5">
      <c r="B42" t="s">
        <v>28</v>
      </c>
      <c r="C42">
        <v>8</v>
      </c>
    </row>
    <row r="43" spans="1:5">
      <c r="B43" t="s">
        <v>31</v>
      </c>
      <c r="C43">
        <v>60</v>
      </c>
    </row>
    <row r="44" spans="1:5">
      <c r="B44" t="s">
        <v>32</v>
      </c>
      <c r="C44">
        <v>169</v>
      </c>
    </row>
    <row r="45" spans="1:5">
      <c r="B45" t="s">
        <v>33</v>
      </c>
      <c r="C45">
        <v>5000</v>
      </c>
    </row>
    <row r="46" spans="1:5">
      <c r="A46" s="8" t="s">
        <v>3</v>
      </c>
      <c r="B46" s="6"/>
      <c r="C46" s="6"/>
      <c r="D46" s="6">
        <f>SUM(C38:C45)</f>
        <v>5329</v>
      </c>
      <c r="E46" s="10">
        <f>E37+D46</f>
        <v>10598.189999999999</v>
      </c>
    </row>
    <row r="47" spans="1:5">
      <c r="A47" s="1">
        <v>11.17</v>
      </c>
      <c r="B47" t="s">
        <v>34</v>
      </c>
      <c r="C47">
        <v>34</v>
      </c>
    </row>
    <row r="48" spans="1:5">
      <c r="B48" t="s">
        <v>35</v>
      </c>
      <c r="C48">
        <v>3</v>
      </c>
    </row>
    <row r="49" spans="1:5">
      <c r="B49" t="s">
        <v>36</v>
      </c>
      <c r="C49">
        <v>22</v>
      </c>
    </row>
    <row r="50" spans="1:5">
      <c r="A50" s="8" t="s">
        <v>3</v>
      </c>
      <c r="B50" s="6"/>
      <c r="C50" s="6"/>
      <c r="D50" s="6">
        <f>C47+C48+C49</f>
        <v>59</v>
      </c>
      <c r="E50" s="10">
        <f>E46+D50</f>
        <v>10657.189999999999</v>
      </c>
    </row>
    <row r="51" spans="1:5">
      <c r="A51" s="1">
        <v>11.18</v>
      </c>
      <c r="B51" t="s">
        <v>37</v>
      </c>
      <c r="C51">
        <v>18</v>
      </c>
    </row>
    <row r="52" spans="1:5">
      <c r="B52" t="s">
        <v>38</v>
      </c>
      <c r="C52">
        <v>3.6</v>
      </c>
    </row>
    <row r="53" spans="1:5">
      <c r="B53" t="s">
        <v>39</v>
      </c>
      <c r="C53">
        <v>102.5</v>
      </c>
    </row>
    <row r="54" spans="1:5">
      <c r="A54" s="8" t="s">
        <v>3</v>
      </c>
      <c r="B54" s="6"/>
      <c r="C54" s="6"/>
      <c r="D54" s="6">
        <f>SUM(C51:C53)</f>
        <v>124.1</v>
      </c>
      <c r="E54" s="10">
        <f>E50+D54</f>
        <v>10781.289999999999</v>
      </c>
    </row>
    <row r="55" spans="1:5">
      <c r="A55" s="1">
        <v>11.19</v>
      </c>
      <c r="B55" t="s">
        <v>40</v>
      </c>
      <c r="C55">
        <v>4</v>
      </c>
    </row>
    <row r="56" spans="1:5">
      <c r="B56" t="s">
        <v>41</v>
      </c>
      <c r="C56">
        <v>47.4</v>
      </c>
    </row>
    <row r="57" spans="1:5">
      <c r="B57" t="s">
        <v>34</v>
      </c>
      <c r="C57">
        <v>8.6999999999999993</v>
      </c>
    </row>
    <row r="58" spans="1:5">
      <c r="A58" s="8" t="s">
        <v>42</v>
      </c>
      <c r="B58" s="6"/>
      <c r="C58" s="6"/>
      <c r="D58" s="6">
        <f>SUM(C55:C57)</f>
        <v>60.099999999999994</v>
      </c>
      <c r="E58" s="10">
        <f>E54+D58</f>
        <v>10841.39</v>
      </c>
    </row>
    <row r="59" spans="1:5">
      <c r="A59" s="1" t="s">
        <v>43</v>
      </c>
      <c r="B59" t="s">
        <v>34</v>
      </c>
      <c r="C59">
        <v>6</v>
      </c>
    </row>
    <row r="60" spans="1:5">
      <c r="B60" t="s">
        <v>44</v>
      </c>
      <c r="C60">
        <v>7</v>
      </c>
    </row>
    <row r="61" spans="1:5">
      <c r="B61" t="s">
        <v>45</v>
      </c>
      <c r="C61">
        <v>7.5</v>
      </c>
    </row>
    <row r="62" spans="1:5">
      <c r="B62" t="s">
        <v>46</v>
      </c>
      <c r="C62">
        <v>12.5</v>
      </c>
    </row>
    <row r="63" spans="1:5">
      <c r="A63" s="8" t="s">
        <v>3</v>
      </c>
      <c r="B63" s="6"/>
      <c r="C63" s="6"/>
      <c r="D63" s="6">
        <f>SUM(C59:C62)</f>
        <v>33</v>
      </c>
      <c r="E63" s="10">
        <f>E58+D63</f>
        <v>10874.39</v>
      </c>
    </row>
    <row r="64" spans="1:5">
      <c r="A64" s="1" t="s">
        <v>47</v>
      </c>
      <c r="B64" t="s">
        <v>48</v>
      </c>
      <c r="C64">
        <v>4.3</v>
      </c>
    </row>
    <row r="65" spans="1:5">
      <c r="B65" t="s">
        <v>38</v>
      </c>
      <c r="C65">
        <v>6.2</v>
      </c>
    </row>
    <row r="66" spans="1:5">
      <c r="B66" t="s">
        <v>36</v>
      </c>
      <c r="C66">
        <v>15</v>
      </c>
    </row>
    <row r="67" spans="1:5">
      <c r="B67" t="s">
        <v>46</v>
      </c>
      <c r="C67">
        <v>11.3</v>
      </c>
    </row>
    <row r="68" spans="1:5">
      <c r="A68" s="8" t="s">
        <v>3</v>
      </c>
      <c r="B68" s="6"/>
      <c r="C68" s="6"/>
      <c r="D68" s="6">
        <f>SUM(C64:C67)</f>
        <v>36.799999999999997</v>
      </c>
      <c r="E68" s="10">
        <f>E63+D68</f>
        <v>10911.189999999999</v>
      </c>
    </row>
    <row r="69" spans="1:5">
      <c r="A69" s="1" t="s">
        <v>49</v>
      </c>
      <c r="B69" t="s">
        <v>9</v>
      </c>
      <c r="C69">
        <v>11</v>
      </c>
    </row>
    <row r="70" spans="1:5">
      <c r="B70" t="s">
        <v>41</v>
      </c>
      <c r="C70">
        <v>33</v>
      </c>
    </row>
    <row r="71" spans="1:5">
      <c r="A71" s="8" t="s">
        <v>3</v>
      </c>
      <c r="B71" s="6"/>
      <c r="C71" s="6"/>
      <c r="D71" s="6">
        <f>SUM(C69:C70)</f>
        <v>44</v>
      </c>
    </row>
    <row r="72" spans="1:5">
      <c r="A72" s="1" t="s">
        <v>50</v>
      </c>
      <c r="B72" t="s">
        <v>51</v>
      </c>
      <c r="C72">
        <v>20</v>
      </c>
    </row>
    <row r="73" spans="1:5">
      <c r="B73" t="s">
        <v>52</v>
      </c>
      <c r="C73">
        <v>5.3</v>
      </c>
    </row>
    <row r="74" spans="1:5">
      <c r="A74" s="8" t="s">
        <v>3</v>
      </c>
      <c r="B74" s="6"/>
      <c r="C74" s="6"/>
      <c r="D74" s="6">
        <f>SUM(C72:C73)</f>
        <v>25.3</v>
      </c>
    </row>
    <row r="75" spans="1:5">
      <c r="A75" s="1" t="s">
        <v>53</v>
      </c>
      <c r="B75" t="s">
        <v>34</v>
      </c>
      <c r="C75">
        <v>11</v>
      </c>
    </row>
    <row r="76" spans="1:5">
      <c r="B76" t="s">
        <v>54</v>
      </c>
      <c r="C76">
        <v>20</v>
      </c>
    </row>
    <row r="77" spans="1:5">
      <c r="B77" t="s">
        <v>55</v>
      </c>
      <c r="C77">
        <v>8</v>
      </c>
    </row>
    <row r="78" spans="1:5">
      <c r="B78" t="s">
        <v>56</v>
      </c>
      <c r="C78">
        <v>5.3</v>
      </c>
    </row>
    <row r="79" spans="1:5">
      <c r="B79" t="s">
        <v>20</v>
      </c>
      <c r="C79">
        <v>40</v>
      </c>
    </row>
    <row r="80" spans="1:5">
      <c r="A80" s="8" t="s">
        <v>3</v>
      </c>
      <c r="B80" s="6"/>
      <c r="C80" s="6"/>
      <c r="D80" s="6">
        <f>SUM(C75:C79)</f>
        <v>84.3</v>
      </c>
      <c r="E80" s="10">
        <f>(E68+D80)</f>
        <v>10995.489999999998</v>
      </c>
    </row>
    <row r="81" spans="1:4">
      <c r="A81" s="1" t="s">
        <v>57</v>
      </c>
      <c r="B81" t="s">
        <v>58</v>
      </c>
      <c r="C81">
        <v>40</v>
      </c>
    </row>
    <row r="82" spans="1:4">
      <c r="B82" t="s">
        <v>59</v>
      </c>
      <c r="C82">
        <v>5</v>
      </c>
    </row>
    <row r="83" spans="1:4">
      <c r="B83" t="s">
        <v>22</v>
      </c>
      <c r="C83">
        <v>8</v>
      </c>
    </row>
    <row r="84" spans="1:4">
      <c r="A84" s="8" t="s">
        <v>3</v>
      </c>
      <c r="B84" s="6"/>
      <c r="C84" s="6"/>
      <c r="D84" s="6">
        <f>SUM(C81:C83)</f>
        <v>53</v>
      </c>
    </row>
    <row r="85" spans="1:4">
      <c r="A85" s="1" t="s">
        <v>60</v>
      </c>
      <c r="B85" t="s">
        <v>61</v>
      </c>
      <c r="C85">
        <v>70</v>
      </c>
    </row>
    <row r="86" spans="1:4">
      <c r="B86" t="s">
        <v>62</v>
      </c>
      <c r="C86">
        <v>188</v>
      </c>
    </row>
    <row r="87" spans="1:4">
      <c r="B87" t="s">
        <v>13</v>
      </c>
      <c r="C87">
        <v>4</v>
      </c>
    </row>
    <row r="88" spans="1:4">
      <c r="B88" t="s">
        <v>22</v>
      </c>
      <c r="C88">
        <v>4.5</v>
      </c>
    </row>
    <row r="89" spans="1:4">
      <c r="B89" t="s">
        <v>46</v>
      </c>
      <c r="C89">
        <v>8.6999999999999993</v>
      </c>
    </row>
    <row r="90" spans="1:4">
      <c r="A90" s="8" t="s">
        <v>3</v>
      </c>
      <c r="B90" s="6"/>
      <c r="C90" s="6"/>
      <c r="D90" s="6">
        <f>SUM(C85:C89)</f>
        <v>275.2</v>
      </c>
    </row>
    <row r="91" spans="1:4">
      <c r="A91" s="1" t="s">
        <v>63</v>
      </c>
      <c r="B91" t="s">
        <v>22</v>
      </c>
      <c r="C91">
        <v>13.5</v>
      </c>
    </row>
    <row r="92" spans="1:4">
      <c r="B92" t="s">
        <v>64</v>
      </c>
      <c r="C92">
        <v>27</v>
      </c>
    </row>
    <row r="93" spans="1:4">
      <c r="B93" t="s">
        <v>61</v>
      </c>
      <c r="C93">
        <v>70</v>
      </c>
    </row>
    <row r="94" spans="1:4">
      <c r="B94" t="s">
        <v>65</v>
      </c>
      <c r="C94">
        <v>26.5</v>
      </c>
    </row>
    <row r="95" spans="1:4">
      <c r="A95" s="8"/>
      <c r="B95" s="6"/>
      <c r="C95" s="6"/>
      <c r="D95" s="6">
        <f>SUM(C91:C94)</f>
        <v>137</v>
      </c>
    </row>
    <row r="96" spans="1:4">
      <c r="A96" s="1" t="s">
        <v>66</v>
      </c>
      <c r="B96" t="s">
        <v>22</v>
      </c>
      <c r="C96">
        <v>10</v>
      </c>
    </row>
    <row r="97" spans="1:5">
      <c r="B97" t="s">
        <v>46</v>
      </c>
      <c r="C97">
        <v>12.3</v>
      </c>
    </row>
    <row r="98" spans="1:5">
      <c r="A98" s="8"/>
      <c r="B98" s="6"/>
      <c r="C98" s="6"/>
      <c r="D98" s="6">
        <v>22.3</v>
      </c>
    </row>
    <row r="99" spans="1:5">
      <c r="A99" s="1" t="s">
        <v>67</v>
      </c>
      <c r="B99" t="s">
        <v>9</v>
      </c>
      <c r="C99">
        <v>6</v>
      </c>
    </row>
    <row r="100" spans="1:5">
      <c r="B100" t="s">
        <v>68</v>
      </c>
      <c r="C100">
        <v>34</v>
      </c>
    </row>
    <row r="101" spans="1:5">
      <c r="B101" t="s">
        <v>12</v>
      </c>
      <c r="C101">
        <v>37.299999999999997</v>
      </c>
    </row>
    <row r="102" spans="1:5">
      <c r="B102" t="s">
        <v>69</v>
      </c>
      <c r="C102">
        <v>40</v>
      </c>
    </row>
    <row r="103" spans="1:5">
      <c r="A103" s="8" t="s">
        <v>42</v>
      </c>
      <c r="B103" s="6"/>
      <c r="C103" s="6"/>
      <c r="D103" s="6">
        <f>SUM(C99:C102)</f>
        <v>117.3</v>
      </c>
    </row>
    <row r="104" spans="1:5">
      <c r="A104" s="1" t="s">
        <v>70</v>
      </c>
      <c r="B104" t="s">
        <v>19</v>
      </c>
      <c r="C104">
        <v>26.8</v>
      </c>
    </row>
    <row r="105" spans="1:5">
      <c r="B105" t="s">
        <v>28</v>
      </c>
      <c r="C105">
        <v>15.4</v>
      </c>
    </row>
    <row r="106" spans="1:5">
      <c r="A106" s="6" t="s">
        <v>42</v>
      </c>
      <c r="B106" s="6"/>
      <c r="C106" s="6"/>
      <c r="D106" s="6">
        <f>SUM(C104:C105)</f>
        <v>42.2</v>
      </c>
      <c r="E106" s="10">
        <f>E80+D84+D90+D95+D98+D103+D106</f>
        <v>11642.489999999998</v>
      </c>
    </row>
    <row r="107" spans="1:5">
      <c r="A107" s="1" t="s">
        <v>71</v>
      </c>
      <c r="B107" t="s">
        <v>19</v>
      </c>
      <c r="C107">
        <v>13</v>
      </c>
    </row>
    <row r="108" spans="1:5">
      <c r="B108" t="s">
        <v>20</v>
      </c>
      <c r="C108">
        <v>44.9</v>
      </c>
    </row>
    <row r="109" spans="1:5">
      <c r="B109" t="s">
        <v>72</v>
      </c>
      <c r="C109">
        <v>16</v>
      </c>
    </row>
    <row r="110" spans="1:5">
      <c r="B110" t="s">
        <v>28</v>
      </c>
      <c r="C110">
        <v>6.8</v>
      </c>
    </row>
    <row r="111" spans="1:5">
      <c r="B111" t="s">
        <v>73</v>
      </c>
      <c r="C111">
        <v>15</v>
      </c>
    </row>
    <row r="112" spans="1:5">
      <c r="A112" s="8" t="s">
        <v>3</v>
      </c>
      <c r="B112" s="6"/>
      <c r="C112" s="6"/>
      <c r="D112" s="6">
        <f>C107+C108+C109+C110+C111</f>
        <v>95.7</v>
      </c>
      <c r="E112" s="10">
        <f>E106+D112</f>
        <v>11738.189999999999</v>
      </c>
    </row>
    <row r="113" spans="1:5">
      <c r="A113" s="1" t="s">
        <v>74</v>
      </c>
      <c r="B113" t="s">
        <v>75</v>
      </c>
      <c r="C113">
        <v>50</v>
      </c>
    </row>
    <row r="114" spans="1:5">
      <c r="B114" t="s">
        <v>19</v>
      </c>
      <c r="C114">
        <v>19.899999999999999</v>
      </c>
    </row>
    <row r="115" spans="1:5">
      <c r="B115" t="s">
        <v>8</v>
      </c>
      <c r="C115">
        <v>57</v>
      </c>
    </row>
    <row r="116" spans="1:5">
      <c r="B116" t="s">
        <v>76</v>
      </c>
      <c r="C116">
        <v>13.3</v>
      </c>
    </row>
    <row r="117" spans="1:5">
      <c r="B117" s="1" t="s">
        <v>77</v>
      </c>
      <c r="C117">
        <v>9</v>
      </c>
    </row>
    <row r="118" spans="1:5">
      <c r="A118" s="8" t="s">
        <v>42</v>
      </c>
      <c r="B118" s="6"/>
      <c r="C118" s="6"/>
      <c r="D118" s="6">
        <f>SUM(C113:C117)</f>
        <v>149.20000000000002</v>
      </c>
      <c r="E118" s="10">
        <f>E112+D118</f>
        <v>11887.39</v>
      </c>
    </row>
    <row r="119" spans="1:5">
      <c r="A119" s="1" t="s">
        <v>78</v>
      </c>
      <c r="B119" t="s">
        <v>41</v>
      </c>
      <c r="C119">
        <v>22.5</v>
      </c>
    </row>
    <row r="120" spans="1:5">
      <c r="B120" t="s">
        <v>19</v>
      </c>
      <c r="C120">
        <v>12</v>
      </c>
    </row>
    <row r="121" spans="1:5">
      <c r="B121" t="s">
        <v>28</v>
      </c>
      <c r="C121">
        <v>6.3</v>
      </c>
    </row>
    <row r="122" spans="1:5">
      <c r="B122" t="s">
        <v>72</v>
      </c>
      <c r="C122">
        <v>5.4</v>
      </c>
    </row>
    <row r="123" spans="1:5">
      <c r="B123" t="s">
        <v>79</v>
      </c>
      <c r="C123">
        <v>10</v>
      </c>
    </row>
    <row r="124" spans="1:5">
      <c r="A124" s="8" t="s">
        <v>42</v>
      </c>
      <c r="B124" s="6"/>
      <c r="C124" s="6"/>
      <c r="D124" s="6">
        <f>SUM(C119:C123)</f>
        <v>56.199999999999996</v>
      </c>
      <c r="E124" s="10">
        <f>E118+D124</f>
        <v>11943.59</v>
      </c>
    </row>
    <row r="125" spans="1:5">
      <c r="A125" s="1" t="s">
        <v>80</v>
      </c>
      <c r="B125" t="s">
        <v>37</v>
      </c>
      <c r="C125">
        <v>16</v>
      </c>
    </row>
    <row r="126" spans="1:5">
      <c r="B126" t="s">
        <v>81</v>
      </c>
      <c r="C126">
        <v>14.5</v>
      </c>
    </row>
    <row r="127" spans="1:5">
      <c r="B127" t="s">
        <v>82</v>
      </c>
      <c r="C127">
        <v>35.4</v>
      </c>
    </row>
    <row r="128" spans="1:5">
      <c r="B128" t="s">
        <v>72</v>
      </c>
      <c r="C128">
        <v>9.6999999999999993</v>
      </c>
    </row>
    <row r="129" spans="1:5">
      <c r="B129" t="s">
        <v>28</v>
      </c>
      <c r="C129">
        <v>6</v>
      </c>
    </row>
    <row r="130" spans="1:5">
      <c r="A130" s="11"/>
      <c r="B130" s="12"/>
      <c r="C130" s="12"/>
      <c r="D130" s="12">
        <f>SUM(C125:C129)</f>
        <v>81.600000000000009</v>
      </c>
      <c r="E130" s="10">
        <f>(E124+D130)</f>
        <v>12025.19</v>
      </c>
    </row>
    <row r="131" spans="1:5">
      <c r="A131" s="1" t="s">
        <v>83</v>
      </c>
      <c r="B131" t="s">
        <v>34</v>
      </c>
      <c r="C131">
        <v>10</v>
      </c>
    </row>
    <row r="132" spans="1:5">
      <c r="B132" t="s">
        <v>81</v>
      </c>
      <c r="C132">
        <v>10</v>
      </c>
    </row>
    <row r="133" spans="1:5">
      <c r="A133" s="8" t="s">
        <v>42</v>
      </c>
      <c r="B133" s="6"/>
      <c r="C133" s="6"/>
      <c r="D133" s="6">
        <v>20</v>
      </c>
    </row>
    <row r="134" spans="1:5">
      <c r="A134" s="1" t="s">
        <v>84</v>
      </c>
      <c r="B134" t="s">
        <v>34</v>
      </c>
      <c r="C134">
        <v>17.8</v>
      </c>
    </row>
    <row r="135" spans="1:5">
      <c r="B135" t="s">
        <v>85</v>
      </c>
      <c r="C135">
        <v>17</v>
      </c>
    </row>
    <row r="136" spans="1:5">
      <c r="B136" t="s">
        <v>81</v>
      </c>
      <c r="C136">
        <v>17</v>
      </c>
    </row>
    <row r="137" spans="1:5">
      <c r="A137" s="8" t="s">
        <v>42</v>
      </c>
      <c r="B137" s="6"/>
      <c r="C137" s="6"/>
      <c r="D137" s="6">
        <f>SUM(C134:C136)</f>
        <v>51.8</v>
      </c>
    </row>
    <row r="138" spans="1:5">
      <c r="A138" s="1" t="s">
        <v>84</v>
      </c>
      <c r="B138" t="s">
        <v>41</v>
      </c>
      <c r="C138">
        <v>39</v>
      </c>
    </row>
    <row r="139" spans="1:5">
      <c r="B139" t="s">
        <v>19</v>
      </c>
      <c r="C139">
        <v>14</v>
      </c>
    </row>
    <row r="140" spans="1:5">
      <c r="B140" t="s">
        <v>86</v>
      </c>
      <c r="C140">
        <v>12</v>
      </c>
    </row>
    <row r="141" spans="1:5">
      <c r="B141" t="s">
        <v>75</v>
      </c>
      <c r="C141">
        <v>50</v>
      </c>
    </row>
    <row r="142" spans="1:5">
      <c r="A142" s="8" t="s">
        <v>42</v>
      </c>
      <c r="B142" s="6"/>
      <c r="C142" s="6"/>
      <c r="D142" s="6">
        <f>SUM(C138:C141)</f>
        <v>115</v>
      </c>
      <c r="E142" s="10">
        <f>E130+D133+D137+D142</f>
        <v>12211.99</v>
      </c>
    </row>
    <row r="143" spans="1:5">
      <c r="A143" s="1" t="s">
        <v>87</v>
      </c>
      <c r="B143" t="s">
        <v>19</v>
      </c>
      <c r="C143">
        <v>14</v>
      </c>
    </row>
    <row r="144" spans="1:5">
      <c r="B144" t="s">
        <v>18</v>
      </c>
      <c r="C144">
        <v>50</v>
      </c>
    </row>
    <row r="145" spans="1:5">
      <c r="B145" t="s">
        <v>8</v>
      </c>
      <c r="C145">
        <v>39</v>
      </c>
    </row>
    <row r="146" spans="1:5">
      <c r="A146" s="8" t="s">
        <v>42</v>
      </c>
      <c r="B146" s="6"/>
      <c r="C146" s="6"/>
      <c r="D146" s="6">
        <f>SUM(C143:C145)</f>
        <v>103</v>
      </c>
    </row>
    <row r="147" spans="1:5">
      <c r="A147" s="1" t="s">
        <v>88</v>
      </c>
      <c r="B147" t="s">
        <v>72</v>
      </c>
      <c r="C147">
        <v>11.3</v>
      </c>
    </row>
    <row r="148" spans="1:5">
      <c r="B148" t="s">
        <v>34</v>
      </c>
      <c r="C148">
        <v>15.9</v>
      </c>
    </row>
    <row r="149" spans="1:5">
      <c r="A149" s="8" t="s">
        <v>42</v>
      </c>
      <c r="B149" s="6"/>
      <c r="C149" s="6"/>
      <c r="D149" s="6">
        <f>SUM(C147:C148)</f>
        <v>27.200000000000003</v>
      </c>
    </row>
    <row r="150" spans="1:5">
      <c r="A150" s="1" t="s">
        <v>89</v>
      </c>
      <c r="B150" t="s">
        <v>34</v>
      </c>
      <c r="C150">
        <v>13</v>
      </c>
    </row>
    <row r="151" spans="1:5">
      <c r="B151" t="s">
        <v>19</v>
      </c>
      <c r="C151">
        <v>18</v>
      </c>
    </row>
    <row r="152" spans="1:5">
      <c r="B152" t="s">
        <v>81</v>
      </c>
      <c r="C152">
        <v>15</v>
      </c>
    </row>
    <row r="153" spans="1:5">
      <c r="B153" t="s">
        <v>90</v>
      </c>
      <c r="C153">
        <v>39</v>
      </c>
    </row>
    <row r="154" spans="1:5">
      <c r="A154" s="8" t="s">
        <v>42</v>
      </c>
      <c r="B154" s="6"/>
      <c r="C154" s="6"/>
      <c r="D154" s="6">
        <f>SUM(C150:C153)</f>
        <v>85</v>
      </c>
      <c r="E154" s="10">
        <f>E142+D147+D149+D154</f>
        <v>12324.19</v>
      </c>
    </row>
    <row r="155" spans="1:5">
      <c r="A155" s="1" t="s">
        <v>91</v>
      </c>
      <c r="B155" t="s">
        <v>92</v>
      </c>
      <c r="C155">
        <v>14</v>
      </c>
    </row>
    <row r="156" spans="1:5">
      <c r="B156" t="s">
        <v>41</v>
      </c>
      <c r="C156">
        <v>19.899999999999999</v>
      </c>
    </row>
    <row r="157" spans="1:5">
      <c r="B157" t="s">
        <v>93</v>
      </c>
      <c r="C157">
        <v>7</v>
      </c>
    </row>
    <row r="158" spans="1:5">
      <c r="A158" s="8" t="s">
        <v>42</v>
      </c>
      <c r="B158" s="6"/>
      <c r="C158" s="6"/>
      <c r="D158" s="6">
        <f>SUM(C155:C157)</f>
        <v>40.9</v>
      </c>
    </row>
    <row r="159" spans="1:5">
      <c r="A159" s="1" t="s">
        <v>94</v>
      </c>
      <c r="B159" t="s">
        <v>5</v>
      </c>
      <c r="C159">
        <v>39</v>
      </c>
    </row>
    <row r="160" spans="1:5">
      <c r="B160" t="s">
        <v>34</v>
      </c>
      <c r="C160">
        <v>8.5</v>
      </c>
    </row>
    <row r="161" spans="1:5">
      <c r="A161" s="8" t="s">
        <v>42</v>
      </c>
      <c r="B161" s="6"/>
      <c r="C161" s="6"/>
      <c r="D161" s="6">
        <f>SUM(C159:C160)</f>
        <v>47.5</v>
      </c>
      <c r="E161" s="10">
        <f>E154+D158+D161</f>
        <v>12412.59</v>
      </c>
    </row>
    <row r="162" spans="1:5">
      <c r="A162" s="1" t="s">
        <v>95</v>
      </c>
      <c r="B162" t="s">
        <v>34</v>
      </c>
      <c r="C162">
        <v>22.8</v>
      </c>
    </row>
    <row r="163" spans="1:5">
      <c r="B163" t="s">
        <v>81</v>
      </c>
      <c r="C163">
        <v>9.82</v>
      </c>
    </row>
    <row r="164" spans="1:5">
      <c r="B164" t="s">
        <v>96</v>
      </c>
      <c r="C164">
        <v>26.8</v>
      </c>
    </row>
    <row r="165" spans="1:5">
      <c r="A165" s="8" t="s">
        <v>42</v>
      </c>
      <c r="B165" s="6"/>
      <c r="C165" s="6"/>
      <c r="D165" s="6">
        <f>SUM(C162:C164)</f>
        <v>59.42</v>
      </c>
    </row>
    <row r="166" spans="1:5">
      <c r="A166" s="1" t="s">
        <v>97</v>
      </c>
      <c r="B166" t="s">
        <v>34</v>
      </c>
      <c r="C166">
        <v>19.5</v>
      </c>
    </row>
    <row r="167" spans="1:5">
      <c r="A167" s="8" t="s">
        <v>42</v>
      </c>
      <c r="B167" s="6"/>
      <c r="C167" s="6"/>
      <c r="D167" s="6">
        <f>SUM(C166:C166)</f>
        <v>19.5</v>
      </c>
    </row>
    <row r="168" spans="1:5">
      <c r="A168" s="1" t="s">
        <v>98</v>
      </c>
      <c r="B168" t="s">
        <v>41</v>
      </c>
      <c r="C168">
        <v>22.9</v>
      </c>
    </row>
    <row r="169" spans="1:5">
      <c r="B169" t="s">
        <v>34</v>
      </c>
      <c r="C169">
        <v>10</v>
      </c>
    </row>
    <row r="170" spans="1:5">
      <c r="B170" t="s">
        <v>81</v>
      </c>
      <c r="C170">
        <v>11</v>
      </c>
    </row>
    <row r="171" spans="1:5">
      <c r="B171" t="s">
        <v>99</v>
      </c>
      <c r="C171">
        <v>8</v>
      </c>
    </row>
    <row r="172" spans="1:5">
      <c r="A172" s="8" t="s">
        <v>42</v>
      </c>
      <c r="B172" s="6"/>
      <c r="C172" s="6"/>
      <c r="D172" s="6">
        <f>SUM(C168:C171)</f>
        <v>51.9</v>
      </c>
      <c r="E172" s="10">
        <f>E161+D165+D167+D172</f>
        <v>12543.41</v>
      </c>
    </row>
    <row r="173" spans="1:5">
      <c r="A173" s="1" t="s">
        <v>100</v>
      </c>
      <c r="B173" t="s">
        <v>41</v>
      </c>
      <c r="C173">
        <v>11</v>
      </c>
    </row>
    <row r="174" spans="1:5">
      <c r="B174" t="s">
        <v>101</v>
      </c>
      <c r="C174">
        <v>59.5</v>
      </c>
    </row>
    <row r="175" spans="1:5">
      <c r="A175" s="8" t="s">
        <v>102</v>
      </c>
      <c r="B175" s="6"/>
      <c r="C175" s="6"/>
      <c r="D175" s="6">
        <f>SUM(C173:C174)</f>
        <v>70.5</v>
      </c>
    </row>
    <row r="176" spans="1:5">
      <c r="A176" s="1" t="s">
        <v>103</v>
      </c>
      <c r="B176" t="s">
        <v>19</v>
      </c>
      <c r="C176">
        <v>17</v>
      </c>
    </row>
    <row r="177" spans="1:5">
      <c r="B177" t="s">
        <v>104</v>
      </c>
      <c r="C177">
        <v>4</v>
      </c>
    </row>
    <row r="178" spans="1:5">
      <c r="A178" s="8" t="s">
        <v>102</v>
      </c>
      <c r="B178" s="6"/>
      <c r="C178" s="6"/>
      <c r="D178" s="6">
        <f>SUM(C176:C177)</f>
        <v>21</v>
      </c>
    </row>
    <row r="179" spans="1:5">
      <c r="A179" s="1" t="s">
        <v>105</v>
      </c>
      <c r="B179" t="s">
        <v>106</v>
      </c>
      <c r="C179">
        <v>25</v>
      </c>
    </row>
    <row r="180" spans="1:5">
      <c r="B180" t="s">
        <v>81</v>
      </c>
      <c r="C180">
        <v>11.3</v>
      </c>
    </row>
    <row r="181" spans="1:5">
      <c r="B181" t="s">
        <v>107</v>
      </c>
      <c r="C181">
        <v>19.899999999999999</v>
      </c>
    </row>
    <row r="182" spans="1:5">
      <c r="B182" t="s">
        <v>23</v>
      </c>
      <c r="C182">
        <v>6.5</v>
      </c>
    </row>
    <row r="183" spans="1:5">
      <c r="A183" s="8" t="s">
        <v>102</v>
      </c>
      <c r="B183" s="6"/>
      <c r="C183" s="6"/>
      <c r="D183" s="6">
        <f>SUM(C179:C182)</f>
        <v>62.699999999999996</v>
      </c>
      <c r="E183" s="13">
        <f>E172+D175+D178+D183</f>
        <v>12697.61</v>
      </c>
    </row>
    <row r="184" spans="1:5">
      <c r="A184" s="14" t="s">
        <v>108</v>
      </c>
      <c r="B184" s="15" t="s">
        <v>109</v>
      </c>
      <c r="C184">
        <v>31.7</v>
      </c>
    </row>
    <row r="185" spans="1:5">
      <c r="B185" s="15" t="s">
        <v>110</v>
      </c>
      <c r="C185">
        <v>37</v>
      </c>
    </row>
    <row r="187" spans="1:5">
      <c r="A187" s="14" t="s">
        <v>111</v>
      </c>
      <c r="B187" s="15" t="s">
        <v>112</v>
      </c>
      <c r="C187">
        <v>14</v>
      </c>
    </row>
    <row r="188" spans="1:5">
      <c r="B188" s="15" t="s">
        <v>113</v>
      </c>
      <c r="C188">
        <v>96</v>
      </c>
    </row>
    <row r="190" spans="1:5">
      <c r="A190" s="14" t="s">
        <v>114</v>
      </c>
      <c r="B190" s="15" t="s">
        <v>115</v>
      </c>
      <c r="C190">
        <v>14.6</v>
      </c>
    </row>
    <row r="191" spans="1:5">
      <c r="B191" s="15" t="s">
        <v>116</v>
      </c>
      <c r="C191">
        <v>11</v>
      </c>
    </row>
    <row r="192" spans="1:5">
      <c r="A192" s="1" t="s">
        <v>117</v>
      </c>
      <c r="B192" s="15" t="s">
        <v>118</v>
      </c>
      <c r="C192">
        <v>12</v>
      </c>
    </row>
    <row r="193" spans="1:3">
      <c r="A193" s="1" t="s">
        <v>119</v>
      </c>
      <c r="B193" s="15" t="s">
        <v>120</v>
      </c>
      <c r="C193">
        <v>8</v>
      </c>
    </row>
    <row r="194" spans="1:3">
      <c r="A194" s="1" t="s">
        <v>121</v>
      </c>
      <c r="B194" s="15" t="s">
        <v>122</v>
      </c>
      <c r="C194">
        <v>22.6</v>
      </c>
    </row>
    <row r="195" spans="1:3">
      <c r="B195" s="15" t="s">
        <v>123</v>
      </c>
      <c r="C195">
        <v>69</v>
      </c>
    </row>
    <row r="196" spans="1:3">
      <c r="A196" s="1" t="s">
        <v>124</v>
      </c>
      <c r="B196" s="15" t="s">
        <v>125</v>
      </c>
      <c r="C196">
        <v>25.4</v>
      </c>
    </row>
    <row r="197" spans="1:3">
      <c r="B197" s="15" t="s">
        <v>126</v>
      </c>
      <c r="C197">
        <v>16.7</v>
      </c>
    </row>
    <row r="198" spans="1:3">
      <c r="A198" s="1" t="s">
        <v>127</v>
      </c>
      <c r="B198" s="15" t="s">
        <v>128</v>
      </c>
      <c r="C198">
        <v>286</v>
      </c>
    </row>
    <row r="199" spans="1:3">
      <c r="B199" s="15" t="s">
        <v>129</v>
      </c>
      <c r="C199">
        <v>11</v>
      </c>
    </row>
    <row r="200" spans="1:3">
      <c r="B200" s="15" t="s">
        <v>130</v>
      </c>
      <c r="C200">
        <v>12</v>
      </c>
    </row>
    <row r="201" spans="1:3">
      <c r="A201" s="1" t="s">
        <v>131</v>
      </c>
      <c r="B201" s="15" t="s">
        <v>132</v>
      </c>
      <c r="C201">
        <v>8.4</v>
      </c>
    </row>
    <row r="202" spans="1:3">
      <c r="B202" s="15" t="s">
        <v>133</v>
      </c>
      <c r="C202">
        <v>10</v>
      </c>
    </row>
    <row r="203" spans="1:3">
      <c r="A203" s="1" t="s">
        <v>134</v>
      </c>
      <c r="B203" s="15" t="s">
        <v>135</v>
      </c>
      <c r="C203">
        <v>5.2</v>
      </c>
    </row>
    <row r="204" spans="1:3">
      <c r="B204" s="15" t="s">
        <v>136</v>
      </c>
      <c r="C204">
        <v>13.6</v>
      </c>
    </row>
    <row r="205" spans="1:3">
      <c r="A205" s="1" t="s">
        <v>137</v>
      </c>
      <c r="B205" s="15" t="s">
        <v>138</v>
      </c>
      <c r="C205">
        <v>82</v>
      </c>
    </row>
    <row r="206" spans="1:3">
      <c r="B206" s="15" t="s">
        <v>139</v>
      </c>
      <c r="C206">
        <v>64.5</v>
      </c>
    </row>
    <row r="207" spans="1:3">
      <c r="A207" s="1" t="s">
        <v>141</v>
      </c>
      <c r="B207" s="15" t="s">
        <v>140</v>
      </c>
      <c r="C207">
        <v>14.9</v>
      </c>
    </row>
    <row r="208" spans="1:3">
      <c r="A208" s="1" t="s">
        <v>142</v>
      </c>
      <c r="B208" s="15" t="s">
        <v>140</v>
      </c>
      <c r="C208">
        <v>20</v>
      </c>
    </row>
    <row r="209" spans="1:3">
      <c r="B209" s="15" t="s">
        <v>143</v>
      </c>
      <c r="C209">
        <v>18.2</v>
      </c>
    </row>
    <row r="210" spans="1:3">
      <c r="B210" s="15" t="s">
        <v>144</v>
      </c>
      <c r="C210">
        <v>13.8</v>
      </c>
    </row>
    <row r="211" spans="1:3">
      <c r="B211" s="15" t="s">
        <v>145</v>
      </c>
      <c r="C211">
        <v>28.79</v>
      </c>
    </row>
    <row r="212" spans="1:3">
      <c r="A212" s="1" t="s">
        <v>146</v>
      </c>
      <c r="B212" s="15" t="s">
        <v>147</v>
      </c>
      <c r="C212">
        <v>11</v>
      </c>
    </row>
    <row r="213" spans="1:3">
      <c r="B213" s="15" t="s">
        <v>148</v>
      </c>
      <c r="C213">
        <v>13</v>
      </c>
    </row>
    <row r="214" spans="1:3">
      <c r="A214" s="1" t="s">
        <v>149</v>
      </c>
      <c r="B214" s="15" t="s">
        <v>150</v>
      </c>
      <c r="C214">
        <v>10</v>
      </c>
    </row>
    <row r="215" spans="1:3">
      <c r="A215" s="1" t="s">
        <v>151</v>
      </c>
      <c r="B215" s="15" t="s">
        <v>152</v>
      </c>
      <c r="C215">
        <v>13</v>
      </c>
    </row>
    <row r="216" spans="1:3">
      <c r="A216" s="1" t="s">
        <v>153</v>
      </c>
      <c r="B216" s="15" t="s">
        <v>154</v>
      </c>
      <c r="C216">
        <v>15</v>
      </c>
    </row>
    <row r="217" spans="1:3">
      <c r="B217" s="15" t="s">
        <v>155</v>
      </c>
      <c r="C217">
        <v>25</v>
      </c>
    </row>
    <row r="218" spans="1:3">
      <c r="B218" s="15" t="s">
        <v>156</v>
      </c>
      <c r="C218">
        <v>14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F15" sqref="F15"/>
    </sheetView>
  </sheetViews>
  <sheetFormatPr defaultRowHeight="14.25"/>
  <sheetData>
    <row r="1" spans="1:4">
      <c r="A1" t="s">
        <v>157</v>
      </c>
      <c r="B1" t="s">
        <v>158</v>
      </c>
      <c r="C1" t="s">
        <v>159</v>
      </c>
      <c r="D1" t="s">
        <v>160</v>
      </c>
    </row>
    <row r="2" spans="1:4">
      <c r="A2">
        <v>7.1</v>
      </c>
      <c r="B2" t="s">
        <v>161</v>
      </c>
      <c r="C2">
        <v>3</v>
      </c>
    </row>
    <row r="3" spans="1:4">
      <c r="B3" t="s">
        <v>162</v>
      </c>
      <c r="C3">
        <v>41</v>
      </c>
    </row>
    <row r="4" spans="1:4">
      <c r="B4" t="s">
        <v>163</v>
      </c>
      <c r="C4">
        <v>18</v>
      </c>
    </row>
    <row r="5" spans="1:4">
      <c r="B5" t="s">
        <v>164</v>
      </c>
      <c r="C5">
        <v>66</v>
      </c>
    </row>
    <row r="6" spans="1:4">
      <c r="B6" t="s">
        <v>165</v>
      </c>
      <c r="C6">
        <v>50</v>
      </c>
    </row>
    <row r="7" spans="1:4">
      <c r="B7" t="s">
        <v>166</v>
      </c>
      <c r="C7">
        <v>3.5</v>
      </c>
    </row>
    <row r="8" spans="1:4">
      <c r="A8" s="16"/>
      <c r="B8" s="16"/>
      <c r="C8" s="16">
        <f>SUM(C2:C7)</f>
        <v>181.5</v>
      </c>
      <c r="D8" s="17">
        <v>181.5</v>
      </c>
    </row>
    <row r="9" spans="1:4">
      <c r="A9">
        <v>7.2</v>
      </c>
      <c r="B9" s="15" t="s">
        <v>167</v>
      </c>
      <c r="C9">
        <v>7</v>
      </c>
    </row>
    <row r="10" spans="1:4">
      <c r="B10" s="15" t="s">
        <v>168</v>
      </c>
      <c r="C10">
        <v>10</v>
      </c>
    </row>
    <row r="11" spans="1:4">
      <c r="B11" s="15" t="s">
        <v>169</v>
      </c>
      <c r="C11">
        <v>44</v>
      </c>
    </row>
    <row r="12" spans="1:4">
      <c r="B12" s="15" t="s">
        <v>170</v>
      </c>
      <c r="C12">
        <v>9</v>
      </c>
    </row>
    <row r="13" spans="1:4">
      <c r="B13" s="15" t="s">
        <v>171</v>
      </c>
      <c r="C13">
        <v>12.8</v>
      </c>
    </row>
    <row r="14" spans="1:4">
      <c r="B14" s="15" t="s">
        <v>172</v>
      </c>
      <c r="C14">
        <v>24.4</v>
      </c>
    </row>
    <row r="15" spans="1:4">
      <c r="B15" s="15" t="s">
        <v>173</v>
      </c>
      <c r="C15">
        <v>1</v>
      </c>
    </row>
    <row r="16" spans="1:4">
      <c r="B16" s="15" t="s">
        <v>174</v>
      </c>
      <c r="C16">
        <v>3.2</v>
      </c>
    </row>
    <row r="17" spans="1:4">
      <c r="A17" s="18"/>
      <c r="B17" s="16"/>
      <c r="C17" s="16">
        <f>SUM(C9:C16)</f>
        <v>111.39999999999999</v>
      </c>
      <c r="D17" s="19">
        <f>D8+C17</f>
        <v>292.89999999999998</v>
      </c>
    </row>
    <row r="18" spans="1:4">
      <c r="A18">
        <v>7.3</v>
      </c>
      <c r="B18" s="15" t="s">
        <v>175</v>
      </c>
      <c r="C18">
        <v>4</v>
      </c>
    </row>
    <row r="19" spans="1:4">
      <c r="B19" s="15" t="s">
        <v>176</v>
      </c>
      <c r="C19">
        <v>21.1</v>
      </c>
    </row>
    <row r="20" spans="1:4">
      <c r="A20" s="16"/>
      <c r="B20" s="16"/>
      <c r="C20" s="16">
        <f>SUM(C18:C19)</f>
        <v>25.1</v>
      </c>
      <c r="D20" s="17">
        <f>D17+C20</f>
        <v>318</v>
      </c>
    </row>
  </sheetData>
  <phoneticPr fontId="6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2017-07-03T14:05:54Z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